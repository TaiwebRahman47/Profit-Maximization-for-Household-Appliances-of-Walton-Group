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definedNames>
    <definedName name="solver_adj" localSheetId="0" hidden="1">Sheet1!$B$2:$B$5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Sheet1!$B$13</definedName>
    <definedName name="solver_lhs10" localSheetId="0" hidden="1">Sheet1!$B$22</definedName>
    <definedName name="solver_lhs11" localSheetId="0" hidden="1">Sheet1!$B$23</definedName>
    <definedName name="solver_lhs12" localSheetId="0" hidden="1">Sheet1!$B$24</definedName>
    <definedName name="solver_lhs13" localSheetId="0" hidden="1">Sheet1!$B$25</definedName>
    <definedName name="solver_lhs14" localSheetId="0" hidden="1">Sheet1!$B$26</definedName>
    <definedName name="solver_lhs15" localSheetId="0" hidden="1">Sheet1!$B$27</definedName>
    <definedName name="solver_lhs2" localSheetId="0" hidden="1">Sheet1!$B$14</definedName>
    <definedName name="solver_lhs3" localSheetId="0" hidden="1">Sheet1!$B$15</definedName>
    <definedName name="solver_lhs4" localSheetId="0" hidden="1">Sheet1!$B$16</definedName>
    <definedName name="solver_lhs5" localSheetId="0" hidden="1">Sheet1!$B$17</definedName>
    <definedName name="solver_lhs6" localSheetId="0" hidden="1">Sheet1!$B$18</definedName>
    <definedName name="solver_lhs7" localSheetId="0" hidden="1">Sheet1!$B$19</definedName>
    <definedName name="solver_lhs8" localSheetId="0" hidden="1">Sheet1!$B$20</definedName>
    <definedName name="solver_lhs9" localSheetId="0" hidden="1">Sheet1!$B$21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15</definedName>
    <definedName name="solver_nwt" localSheetId="0" hidden="1">1</definedName>
    <definedName name="solver_opt" localSheetId="0" hidden="1">Sheet1!$B$9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1</definedName>
    <definedName name="solver_rel11" localSheetId="0" hidden="1">1</definedName>
    <definedName name="solver_rel12" localSheetId="0" hidden="1">1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Sheet1!$D$13</definedName>
    <definedName name="solver_rhs10" localSheetId="0" hidden="1">Sheet1!$D$22</definedName>
    <definedName name="solver_rhs11" localSheetId="0" hidden="1">Sheet1!$D$23</definedName>
    <definedName name="solver_rhs12" localSheetId="0" hidden="1">Sheet1!$D$24</definedName>
    <definedName name="solver_rhs13" localSheetId="0" hidden="1">Sheet1!$D$25</definedName>
    <definedName name="solver_rhs14" localSheetId="0" hidden="1">Sheet1!$D$26</definedName>
    <definedName name="solver_rhs15" localSheetId="0" hidden="1">Sheet1!$D$27</definedName>
    <definedName name="solver_rhs2" localSheetId="0" hidden="1">Sheet1!$D$14</definedName>
    <definedName name="solver_rhs3" localSheetId="0" hidden="1">Sheet1!$D$15</definedName>
    <definedName name="solver_rhs4" localSheetId="0" hidden="1">Sheet1!$D$16</definedName>
    <definedName name="solver_rhs5" localSheetId="0" hidden="1">Sheet1!$D$17</definedName>
    <definedName name="solver_rhs6" localSheetId="0" hidden="1">Sheet1!$D$18</definedName>
    <definedName name="solver_rhs7" localSheetId="0" hidden="1">Sheet1!$D$19</definedName>
    <definedName name="solver_rhs8" localSheetId="0" hidden="1">Sheet1!$D$20</definedName>
    <definedName name="solver_rhs9" localSheetId="0" hidden="1">Sheet1!$D$21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/>
</workbook>
</file>

<file path=xl/sharedStrings.xml><?xml version="1.0" encoding="utf-8"?>
<sst xmlns="http://schemas.openxmlformats.org/spreadsheetml/2006/main" count="12" uniqueCount="12">
  <si>
    <t>Variables</t>
  </si>
  <si>
    <t>X1</t>
  </si>
  <si>
    <t>X2</t>
  </si>
  <si>
    <t>X3</t>
  </si>
  <si>
    <t>X4</t>
  </si>
  <si>
    <t>Objective</t>
  </si>
  <si>
    <t>Maximize</t>
  </si>
  <si>
    <t>Constraints</t>
  </si>
  <si>
    <t>Inequality</t>
  </si>
  <si>
    <t>RHS</t>
  </si>
  <si>
    <t>&lt;=</t>
  </si>
  <si>
    <t>&gt;=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</si>
</sst>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indexed="2"/>
      <name val="Calibri"/>
      <scheme val="minor"/>
    </font>
    <font>
      <sz val="11.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0" numFmtId="3" xfId="0" applyNumberFormat="1"/>
    <xf fontId="2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7" activeCellId="0" sqref="B17"/>
    </sheetView>
  </sheetViews>
  <sheetFormatPr defaultRowHeight="14.25"/>
  <cols>
    <col customWidth="1" min="1" max="1" width="12.42578125"/>
    <col customWidth="1" min="2" max="2" width="55"/>
    <col customWidth="1" min="3" max="3" width="13.28515625"/>
    <col customWidth="1" min="4" max="4" width="20.140625"/>
  </cols>
  <sheetData>
    <row r="1">
      <c r="A1" s="1" t="s">
        <v>0</v>
      </c>
    </row>
    <row r="2">
      <c r="A2" t="s">
        <v>1</v>
      </c>
      <c r="B2">
        <v>2300000</v>
      </c>
    </row>
    <row r="3">
      <c r="A3" t="s">
        <v>2</v>
      </c>
      <c r="B3">
        <v>180000</v>
      </c>
    </row>
    <row r="4">
      <c r="A4" t="s">
        <v>3</v>
      </c>
      <c r="B4">
        <v>28621</v>
      </c>
    </row>
    <row r="5">
      <c r="A5" t="s">
        <v>4</v>
      </c>
      <c r="B5">
        <v>75842</v>
      </c>
    </row>
    <row r="7">
      <c r="A7" s="1" t="s">
        <v>5</v>
      </c>
    </row>
    <row r="9">
      <c r="A9" s="1" t="s">
        <v>6</v>
      </c>
      <c r="B9">
        <f>16419*B2+17160*B3+14291*B4+15615*B5</f>
        <v>42445795541</v>
      </c>
    </row>
    <row r="11">
      <c r="A11" s="1" t="s">
        <v>7</v>
      </c>
    </row>
    <row r="12">
      <c r="C12" s="1" t="s">
        <v>8</v>
      </c>
      <c r="D12" s="1" t="s">
        <v>9</v>
      </c>
    </row>
    <row r="13">
      <c r="A13">
        <v>1</v>
      </c>
      <c r="B13">
        <f t="shared" ref="B13:B16" si="0">B2</f>
        <v>2300000</v>
      </c>
      <c r="C13" t="s">
        <v>10</v>
      </c>
      <c r="D13" s="2">
        <v>2300000</v>
      </c>
    </row>
    <row r="14">
      <c r="A14">
        <v>2</v>
      </c>
      <c r="B14">
        <f t="shared" si="0"/>
        <v>180000</v>
      </c>
      <c r="C14" t="s">
        <v>10</v>
      </c>
      <c r="D14" s="2">
        <v>180000</v>
      </c>
    </row>
    <row r="15">
      <c r="A15">
        <v>3</v>
      </c>
      <c r="B15">
        <f t="shared" si="0"/>
        <v>28621</v>
      </c>
      <c r="C15" t="s">
        <v>10</v>
      </c>
      <c r="D15" s="2">
        <v>80000</v>
      </c>
    </row>
    <row r="16">
      <c r="A16">
        <v>4</v>
      </c>
      <c r="B16">
        <f t="shared" si="0"/>
        <v>75842</v>
      </c>
      <c r="C16" t="s">
        <v>10</v>
      </c>
      <c r="D16" s="2">
        <v>800000</v>
      </c>
    </row>
    <row r="17">
      <c r="A17">
        <v>5</v>
      </c>
      <c r="B17">
        <f>20850*B2+23538*B3+18965*B4+21958*B5</f>
        <v>54399975901</v>
      </c>
      <c r="C17" t="s">
        <v>10</v>
      </c>
      <c r="D17" s="2">
        <v>54400000000</v>
      </c>
    </row>
    <row r="18">
      <c r="A18">
        <v>6</v>
      </c>
      <c r="B18">
        <f t="shared" ref="B18:B21" si="1">B2</f>
        <v>2300000</v>
      </c>
      <c r="C18" t="s">
        <v>11</v>
      </c>
      <c r="D18" s="2">
        <v>0</v>
      </c>
    </row>
    <row r="19">
      <c r="A19">
        <v>7</v>
      </c>
      <c r="B19">
        <f t="shared" si="1"/>
        <v>180000</v>
      </c>
      <c r="C19" t="s">
        <v>11</v>
      </c>
      <c r="D19" s="2">
        <v>0</v>
      </c>
    </row>
    <row r="20">
      <c r="A20">
        <v>8</v>
      </c>
      <c r="B20">
        <f t="shared" si="1"/>
        <v>28621</v>
      </c>
      <c r="C20" t="s">
        <v>11</v>
      </c>
      <c r="D20" s="2">
        <v>0</v>
      </c>
    </row>
    <row r="21">
      <c r="A21">
        <v>9</v>
      </c>
      <c r="B21">
        <f t="shared" si="1"/>
        <v>75842</v>
      </c>
      <c r="C21" t="s">
        <v>11</v>
      </c>
      <c r="D21" s="2">
        <v>0</v>
      </c>
    </row>
    <row r="22">
      <c r="A22">
        <v>10</v>
      </c>
      <c r="B22" s="3">
        <f>2.5*B2+1.5*B3+4.33*B4+1.2*B5</f>
        <v>6234939.3300000001</v>
      </c>
      <c r="C22" t="s">
        <v>10</v>
      </c>
      <c r="D22" s="2">
        <v>10000000</v>
      </c>
    </row>
    <row r="23">
      <c r="A23">
        <v>11</v>
      </c>
      <c r="B23">
        <f>34.67*B2+35.3*B3+30.5*B4+0.5*B5</f>
        <v>87005861.5</v>
      </c>
      <c r="C23" t="s">
        <v>10</v>
      </c>
      <c r="D23" s="2">
        <v>100000000</v>
      </c>
    </row>
    <row r="24">
      <c r="A24">
        <v>12</v>
      </c>
      <c r="B24">
        <f>0.55*B2+1.71*B3+1.98*B4+0.2*B5</f>
        <v>1644637.98</v>
      </c>
      <c r="C24" t="s">
        <v>10</v>
      </c>
      <c r="D24" s="2">
        <v>35000000</v>
      </c>
    </row>
    <row r="25">
      <c r="A25">
        <v>13</v>
      </c>
      <c r="B25">
        <f>8.35*B2+3.42*B3+7.7*B4+9.1*B5</f>
        <v>20731143.899999999</v>
      </c>
      <c r="C25" t="s">
        <v>10</v>
      </c>
      <c r="D25" s="2">
        <v>25000000</v>
      </c>
    </row>
    <row r="26">
      <c r="A26">
        <v>14</v>
      </c>
      <c r="B26">
        <f>1.4*B2+0.79*B3+1.8*B4+1.9*B5</f>
        <v>3557817.5999999996</v>
      </c>
      <c r="C26" t="s">
        <v>10</v>
      </c>
      <c r="D26" s="2">
        <v>4000000</v>
      </c>
    </row>
    <row r="27">
      <c r="A27">
        <v>15</v>
      </c>
      <c r="B27">
        <f>0.91*B2+0.41*B3+0.63*B4+0.2*B5</f>
        <v>2199999.6299999999</v>
      </c>
      <c r="C27" t="s">
        <v>10</v>
      </c>
      <c r="D27" s="2">
        <v>2200000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ONLYOFFICE/7.3.0.184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Saife</dc:creator>
  <cp:revision>3</cp:revision>
  <dcterms:created xsi:type="dcterms:W3CDTF">2015-06-05T18:17:20Z</dcterms:created>
  <dcterms:modified xsi:type="dcterms:W3CDTF">2023-03-03T10:26:45Z</dcterms:modified>
</cp:coreProperties>
</file>